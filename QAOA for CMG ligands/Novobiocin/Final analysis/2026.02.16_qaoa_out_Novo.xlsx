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islfs04vs1.moffitt.org\UsersG$\80032128\Desktop\QAOA 5.08.25\Ligand Novobiocin February\"/>
    </mc:Choice>
  </mc:AlternateContent>
  <xr:revisionPtr revIDLastSave="0" documentId="13_ncr:1_{1CD1C048-026A-48BB-9CA9-462762ACF90E}" xr6:coauthVersionLast="47" xr6:coauthVersionMax="47" xr10:uidLastSave="{00000000-0000-0000-0000-000000000000}"/>
  <bookViews>
    <workbookView xWindow="-110" yWindow="-110" windowWidth="19420" windowHeight="10420" xr2:uid="{D88CAB76-0732-3E45-94E6-664F3452040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12" i="3"/>
  <c r="D5" i="3"/>
  <c r="D7" i="3"/>
  <c r="D9" i="3"/>
  <c r="D6" i="3"/>
  <c r="D14" i="3"/>
  <c r="D18" i="3"/>
  <c r="D3" i="3"/>
  <c r="D10" i="3"/>
  <c r="D4" i="3"/>
  <c r="D15" i="3"/>
  <c r="D21" i="3"/>
  <c r="D8" i="3"/>
  <c r="D2" i="3"/>
  <c r="D13" i="3"/>
  <c r="D17" i="3"/>
  <c r="D20" i="3"/>
  <c r="D11" i="3"/>
  <c r="D19" i="3"/>
</calcChain>
</file>

<file path=xl/sharedStrings.xml><?xml version="1.0" encoding="utf-8"?>
<sst xmlns="http://schemas.openxmlformats.org/spreadsheetml/2006/main" count="50" uniqueCount="31">
  <si>
    <t>A</t>
  </si>
  <si>
    <t>D</t>
  </si>
  <si>
    <t>H</t>
  </si>
  <si>
    <t>A1</t>
  </si>
  <si>
    <t>A2</t>
  </si>
  <si>
    <t>A3</t>
  </si>
  <si>
    <t>iLigSet</t>
  </si>
  <si>
    <t>Orientation in BS</t>
  </si>
  <si>
    <t>head-first</t>
  </si>
  <si>
    <t>tail-first</t>
  </si>
  <si>
    <t>q_Head</t>
  </si>
  <si>
    <t>q_Center</t>
  </si>
  <si>
    <t>q_Tail</t>
  </si>
  <si>
    <t>4H</t>
  </si>
  <si>
    <t>H15</t>
  </si>
  <si>
    <t>D11</t>
  </si>
  <si>
    <t>A6</t>
  </si>
  <si>
    <t>A7</t>
  </si>
  <si>
    <t>A5</t>
  </si>
  <si>
    <t>D9</t>
  </si>
  <si>
    <t>A4</t>
  </si>
  <si>
    <t>H16</t>
  </si>
  <si>
    <t>D10</t>
  </si>
  <si>
    <t>H17</t>
  </si>
  <si>
    <t>H18</t>
  </si>
  <si>
    <t>D14</t>
  </si>
  <si>
    <t>D13</t>
  </si>
  <si>
    <t>D12</t>
  </si>
  <si>
    <t>H19</t>
  </si>
  <si>
    <t>H20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</si>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</sst>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7" xfId="0" applyBorder="1"/>
    <xf numFmtId="0" fontId="0" fillId="0" borderId="12" xfId="0" applyBorder="1"/>
    <xf numFmtId="0" fontId="0" fillId="0" borderId="0" xfId="0" applyFill="1"/>
    <xf numFmtId="0" fontId="0" fillId="0" borderId="2" xfId="0" applyFill="1" applyBorder="1" applyAlignment="1">
      <alignment horizontal="center"/>
    </xf>
    <xf numFmtId="2" fontId="0" fillId="0" borderId="0" xfId="0" applyNumberFormat="1" applyFill="1"/>
    <xf numFmtId="2" fontId="0" fillId="0" borderId="8" xfId="0" applyNumberForma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/>
    <xf numFmtId="0" fontId="0" fillId="0" borderId="0" xfId="0" applyBorder="1"/>
    <xf numFmtId="2" fontId="0" fillId="0" borderId="10" xfId="0" applyNumberFormat="1" applyFill="1" applyBorder="1"/>
    <xf numFmtId="2" fontId="0" fillId="0" borderId="9" xfId="0" applyNumberFormat="1" applyFill="1" applyBorder="1"/>
    <xf numFmtId="0" fontId="2" fillId="0" borderId="2" xfId="0" applyFont="1" applyFill="1" applyBorder="1" applyAlignment="1">
      <alignment horizontal="center"/>
    </xf>
    <xf numFmtId="2" fontId="0" fillId="0" borderId="1" xfId="0" applyNumberFormat="1" applyFill="1" applyBorder="1"/>
    <xf numFmtId="0" fontId="4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8" xfId="0" applyNumberFormat="1" applyFont="1" applyFill="1" applyBorder="1"/>
    <xf numFmtId="2" fontId="1" fillId="0" borderId="0" xfId="0" applyNumberFormat="1" applyFont="1" applyFill="1"/>
    <xf numFmtId="2" fontId="0" fillId="0" borderId="3" xfId="0" applyNumberFormat="1" applyFill="1" applyBorder="1"/>
    <xf numFmtId="2" fontId="0" fillId="0" borderId="7" xfId="0" applyNumberForma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6" xfId="0" applyFill="1" applyBorder="1" applyAlignment="1">
      <alignment horizontal="center"/>
    </xf>
    <xf numFmtId="2" fontId="0" fillId="0" borderId="11" xfId="0" applyNumberFormat="1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3" xfId="0" applyFill="1" applyBorder="1"/>
    <xf numFmtId="0" fontId="3" fillId="0" borderId="5" xfId="0" applyFont="1" applyFill="1" applyBorder="1" applyAlignment="1">
      <alignment horizontal="center"/>
    </xf>
    <xf numFmtId="2" fontId="0" fillId="0" borderId="4" xfId="0" applyNumberFormat="1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CFE2-C350-C448-AE2C-79903BE5F416}">
  <dimension ref="A1:AB26"/>
  <sheetViews>
    <sheetView tabSelected="1" zoomScale="70" zoomScaleNormal="70" workbookViewId="0">
      <selection activeCell="AA22" sqref="AA22"/>
    </sheetView>
  </sheetViews>
  <sheetFormatPr defaultColWidth="11" defaultRowHeight="16" x14ac:dyDescent="0.4"/>
  <cols>
    <col min="1" max="3" width="7.33203125" customWidth="1"/>
    <col min="4" max="4" width="12.08203125" customWidth="1"/>
    <col min="5" max="23" width="5.58203125" customWidth="1"/>
    <col min="24" max="24" width="9.33203125" customWidth="1"/>
    <col min="25" max="25" width="10" customWidth="1"/>
    <col min="26" max="26" width="8.5" customWidth="1"/>
    <col min="27" max="27" width="16.58203125" customWidth="1"/>
  </cols>
  <sheetData>
    <row r="1" spans="1:27" ht="16.5" thickTop="1" x14ac:dyDescent="0.4">
      <c r="A1" s="1" t="s">
        <v>0</v>
      </c>
      <c r="B1" s="1" t="s">
        <v>1</v>
      </c>
      <c r="C1" s="1" t="s">
        <v>2</v>
      </c>
      <c r="D1" s="3" t="s">
        <v>6</v>
      </c>
      <c r="E1" s="2" t="s">
        <v>25</v>
      </c>
      <c r="F1" s="1" t="s">
        <v>26</v>
      </c>
      <c r="G1" s="1" t="s">
        <v>16</v>
      </c>
      <c r="H1" s="1" t="s">
        <v>18</v>
      </c>
      <c r="I1" s="1" t="s">
        <v>22</v>
      </c>
      <c r="J1" s="1" t="s">
        <v>23</v>
      </c>
      <c r="K1" s="1" t="s">
        <v>20</v>
      </c>
      <c r="L1" s="5" t="s">
        <v>21</v>
      </c>
      <c r="M1" s="1" t="s">
        <v>3</v>
      </c>
      <c r="N1" s="1" t="s">
        <v>14</v>
      </c>
      <c r="O1" s="1" t="s">
        <v>24</v>
      </c>
      <c r="P1" s="1" t="s">
        <v>4</v>
      </c>
      <c r="Q1" s="6" t="s">
        <v>5</v>
      </c>
      <c r="R1" s="5" t="s">
        <v>19</v>
      </c>
      <c r="S1" s="1" t="s">
        <v>27</v>
      </c>
      <c r="T1" s="1" t="s">
        <v>28</v>
      </c>
      <c r="U1" s="1" t="s">
        <v>17</v>
      </c>
      <c r="V1" s="1" t="s">
        <v>15</v>
      </c>
      <c r="W1" s="1" t="s">
        <v>29</v>
      </c>
      <c r="X1" s="2" t="s">
        <v>10</v>
      </c>
      <c r="Y1" s="2" t="s">
        <v>11</v>
      </c>
      <c r="Z1" s="2" t="s">
        <v>12</v>
      </c>
      <c r="AA1" s="3" t="s">
        <v>7</v>
      </c>
    </row>
    <row r="2" spans="1:27" s="7" customFormat="1" x14ac:dyDescent="0.4">
      <c r="A2" s="7">
        <v>1</v>
      </c>
      <c r="B2" s="7">
        <v>1</v>
      </c>
      <c r="C2" s="7">
        <v>2</v>
      </c>
      <c r="D2" s="8" t="str">
        <f t="shared" ref="D2:D21" si="0">_xlfn.TEXTJOIN("_",TRUE,IF(A2&gt;0,A2&amp;"A",""),IF(B2&gt;0,B2&amp;"D",""),IF(C2&gt;0,C2&amp;"H",""))</f>
        <v>1A_1D_2H</v>
      </c>
      <c r="E2" s="9"/>
      <c r="F2" s="9">
        <v>0.6</v>
      </c>
      <c r="G2" s="14"/>
      <c r="H2" s="9"/>
      <c r="I2" s="9"/>
      <c r="J2" s="9">
        <v>0.6</v>
      </c>
      <c r="K2" s="9">
        <v>0.6</v>
      </c>
      <c r="L2" s="9">
        <v>0.4</v>
      </c>
      <c r="M2" s="15">
        <v>0.4</v>
      </c>
      <c r="N2" s="9">
        <v>0.4</v>
      </c>
      <c r="O2" s="9">
        <v>0.6</v>
      </c>
      <c r="P2" s="14"/>
      <c r="Q2" s="9"/>
      <c r="R2" s="10">
        <v>0.4</v>
      </c>
      <c r="S2" s="9"/>
      <c r="T2" s="9"/>
      <c r="U2" s="9"/>
      <c r="V2" s="9"/>
      <c r="W2" s="9"/>
      <c r="X2" s="12">
        <v>3</v>
      </c>
      <c r="Y2" s="12">
        <v>1</v>
      </c>
      <c r="Z2" s="12">
        <v>0</v>
      </c>
      <c r="AA2" s="12" t="s">
        <v>8</v>
      </c>
    </row>
    <row r="3" spans="1:27" s="7" customFormat="1" x14ac:dyDescent="0.4">
      <c r="A3" s="7">
        <v>1</v>
      </c>
      <c r="B3" s="7">
        <v>2</v>
      </c>
      <c r="C3" s="7">
        <v>1</v>
      </c>
      <c r="D3" s="16" t="str">
        <f t="shared" si="0"/>
        <v>1A_2D_1H</v>
      </c>
      <c r="E3" s="9"/>
      <c r="F3" s="9">
        <v>0.2</v>
      </c>
      <c r="H3" s="9">
        <v>0.2</v>
      </c>
      <c r="I3" s="9"/>
      <c r="J3" s="9">
        <v>0.2</v>
      </c>
      <c r="K3" s="9">
        <v>0.2</v>
      </c>
      <c r="L3" s="9"/>
      <c r="M3" s="17">
        <v>0.6</v>
      </c>
      <c r="N3" s="9">
        <v>0.6</v>
      </c>
      <c r="O3" s="9">
        <v>0.2</v>
      </c>
      <c r="P3" s="9"/>
      <c r="Q3" s="9"/>
      <c r="R3" s="10">
        <v>0.8</v>
      </c>
      <c r="S3" s="9">
        <v>0.8</v>
      </c>
      <c r="T3" s="9"/>
      <c r="U3" s="9"/>
      <c r="V3" s="9"/>
      <c r="W3" s="9"/>
      <c r="X3" s="12">
        <v>0</v>
      </c>
      <c r="Y3" s="12">
        <v>3</v>
      </c>
      <c r="Z3" s="12">
        <v>1</v>
      </c>
      <c r="AA3" s="12" t="s">
        <v>9</v>
      </c>
    </row>
    <row r="4" spans="1:27" s="7" customFormat="1" x14ac:dyDescent="0.4">
      <c r="A4" s="7">
        <v>1</v>
      </c>
      <c r="B4" s="7">
        <v>3</v>
      </c>
      <c r="C4" s="7">
        <v>0</v>
      </c>
      <c r="D4" s="8" t="str">
        <f t="shared" si="0"/>
        <v>1A_3D</v>
      </c>
      <c r="E4" s="9">
        <v>0.2</v>
      </c>
      <c r="F4" s="9"/>
      <c r="G4" s="9"/>
      <c r="H4" s="9"/>
      <c r="I4" s="9">
        <v>0.6</v>
      </c>
      <c r="J4" s="9"/>
      <c r="K4" s="9"/>
      <c r="L4" s="10"/>
      <c r="M4" s="9">
        <v>0.6</v>
      </c>
      <c r="N4" s="9"/>
      <c r="O4" s="9">
        <v>0.2</v>
      </c>
      <c r="P4" s="9">
        <v>0.2</v>
      </c>
      <c r="Q4" s="9">
        <v>0.2</v>
      </c>
      <c r="R4" s="10">
        <v>0.8</v>
      </c>
      <c r="S4" s="9">
        <v>0.4</v>
      </c>
      <c r="T4" s="9"/>
      <c r="U4" s="9"/>
      <c r="V4" s="9">
        <v>0.2</v>
      </c>
      <c r="W4" s="9"/>
      <c r="X4" s="11">
        <v>1</v>
      </c>
      <c r="Y4" s="11">
        <v>2</v>
      </c>
      <c r="Z4" s="11">
        <v>0</v>
      </c>
      <c r="AA4" s="12" t="s">
        <v>8</v>
      </c>
    </row>
    <row r="5" spans="1:27" s="7" customFormat="1" x14ac:dyDescent="0.4">
      <c r="A5" s="7">
        <v>1</v>
      </c>
      <c r="B5" s="7">
        <v>3</v>
      </c>
      <c r="C5" s="7">
        <v>0</v>
      </c>
      <c r="D5" s="18" t="str">
        <f t="shared" si="0"/>
        <v>1A_3D</v>
      </c>
      <c r="E5" s="17">
        <v>1</v>
      </c>
      <c r="F5" s="9">
        <v>1</v>
      </c>
      <c r="G5" s="9"/>
      <c r="H5" s="9"/>
      <c r="I5" s="9"/>
      <c r="J5" s="9"/>
      <c r="K5" s="9">
        <v>1</v>
      </c>
      <c r="L5" s="10"/>
      <c r="M5" s="9"/>
      <c r="N5" s="9"/>
      <c r="O5" s="9"/>
      <c r="P5" s="9"/>
      <c r="Q5" s="9"/>
      <c r="R5" s="10"/>
      <c r="S5" s="9"/>
      <c r="T5" s="9"/>
      <c r="U5" s="9"/>
      <c r="V5" s="9"/>
      <c r="W5" s="9"/>
      <c r="X5" s="11">
        <v>3</v>
      </c>
      <c r="Y5" s="11">
        <v>0</v>
      </c>
      <c r="Z5" s="11">
        <v>0</v>
      </c>
      <c r="AA5" s="12" t="s">
        <v>8</v>
      </c>
    </row>
    <row r="6" spans="1:27" s="7" customFormat="1" x14ac:dyDescent="0.4">
      <c r="A6" s="7">
        <v>1</v>
      </c>
      <c r="B6" s="7">
        <v>0</v>
      </c>
      <c r="C6" s="7">
        <v>3</v>
      </c>
      <c r="D6" s="8" t="str">
        <f t="shared" si="0"/>
        <v>1A_3H</v>
      </c>
      <c r="E6" s="9"/>
      <c r="F6" s="9"/>
      <c r="G6" s="9"/>
      <c r="H6" s="9">
        <v>0.2</v>
      </c>
      <c r="I6" s="9"/>
      <c r="J6" s="9">
        <v>0.8</v>
      </c>
      <c r="K6" s="9"/>
      <c r="L6" s="9">
        <v>0.6</v>
      </c>
      <c r="M6" s="17">
        <v>0.4</v>
      </c>
      <c r="N6" s="9">
        <v>0.6</v>
      </c>
      <c r="O6" s="9">
        <v>0.2</v>
      </c>
      <c r="P6" s="9">
        <v>0.2</v>
      </c>
      <c r="Q6" s="9">
        <v>0.2</v>
      </c>
      <c r="R6" s="10"/>
      <c r="S6" s="9"/>
      <c r="T6" s="9"/>
      <c r="U6" s="9"/>
      <c r="V6" s="9"/>
      <c r="W6" s="9"/>
      <c r="X6" s="12">
        <v>0</v>
      </c>
      <c r="Y6" s="12">
        <v>3</v>
      </c>
      <c r="Z6" s="12">
        <v>0</v>
      </c>
      <c r="AA6" s="12" t="s">
        <v>9</v>
      </c>
    </row>
    <row r="7" spans="1:27" s="7" customFormat="1" x14ac:dyDescent="0.4">
      <c r="A7" s="7">
        <v>1</v>
      </c>
      <c r="B7" s="7">
        <v>0</v>
      </c>
      <c r="C7" s="7">
        <v>3</v>
      </c>
      <c r="D7" s="19" t="str">
        <f t="shared" si="0"/>
        <v>1A_3H</v>
      </c>
      <c r="E7" s="9"/>
      <c r="F7" s="9"/>
      <c r="G7" s="9"/>
      <c r="H7" s="9"/>
      <c r="I7" s="9"/>
      <c r="J7" s="9">
        <v>1</v>
      </c>
      <c r="K7" s="9"/>
      <c r="L7" s="10">
        <v>1</v>
      </c>
      <c r="M7" s="9">
        <v>1</v>
      </c>
      <c r="N7" s="9">
        <v>1</v>
      </c>
      <c r="O7" s="9"/>
      <c r="P7" s="9"/>
      <c r="Q7" s="9"/>
      <c r="R7" s="10"/>
      <c r="S7" s="9"/>
      <c r="T7" s="9"/>
      <c r="U7" s="9"/>
      <c r="V7" s="9"/>
      <c r="W7" s="9"/>
      <c r="X7" s="12">
        <v>2</v>
      </c>
      <c r="Y7" s="12">
        <v>2</v>
      </c>
      <c r="Z7" s="12">
        <v>0</v>
      </c>
      <c r="AA7" s="12" t="s">
        <v>8</v>
      </c>
    </row>
    <row r="8" spans="1:27" s="7" customFormat="1" ht="16.5" customHeight="1" x14ac:dyDescent="0.4">
      <c r="A8" s="7">
        <v>0</v>
      </c>
      <c r="B8" s="7">
        <v>1</v>
      </c>
      <c r="C8" s="7">
        <v>3</v>
      </c>
      <c r="D8" s="8" t="str">
        <f t="shared" si="0"/>
        <v>1D_3H</v>
      </c>
      <c r="E8" s="9"/>
      <c r="F8" s="9">
        <v>0.6</v>
      </c>
      <c r="G8" s="9"/>
      <c r="H8" s="9"/>
      <c r="I8" s="9"/>
      <c r="J8" s="9"/>
      <c r="K8" s="9"/>
      <c r="L8" s="9">
        <v>1</v>
      </c>
      <c r="M8" s="17"/>
      <c r="N8" s="9">
        <v>1</v>
      </c>
      <c r="O8" s="9">
        <v>1</v>
      </c>
      <c r="P8" s="9"/>
      <c r="Q8" s="9"/>
      <c r="R8" s="10">
        <v>0.4</v>
      </c>
      <c r="S8" s="9"/>
      <c r="T8" s="9"/>
      <c r="U8" s="9"/>
      <c r="V8" s="9"/>
      <c r="W8" s="9"/>
      <c r="X8" s="12">
        <v>2</v>
      </c>
      <c r="Y8" s="12">
        <v>2</v>
      </c>
      <c r="Z8" s="12">
        <v>0</v>
      </c>
      <c r="AA8" s="12" t="s">
        <v>8</v>
      </c>
    </row>
    <row r="9" spans="1:27" s="7" customFormat="1" x14ac:dyDescent="0.4">
      <c r="A9" s="7">
        <v>0</v>
      </c>
      <c r="B9" s="7">
        <v>1</v>
      </c>
      <c r="C9" s="7">
        <v>3</v>
      </c>
      <c r="D9" s="19" t="str">
        <f t="shared" si="0"/>
        <v>1D_3H</v>
      </c>
      <c r="E9" s="17"/>
      <c r="F9" s="9"/>
      <c r="G9" s="9"/>
      <c r="H9" s="9"/>
      <c r="I9" s="9"/>
      <c r="J9" s="9">
        <v>0.8</v>
      </c>
      <c r="K9" s="9"/>
      <c r="L9" s="9">
        <v>0.8</v>
      </c>
      <c r="M9" s="17"/>
      <c r="N9" s="9">
        <v>0.8</v>
      </c>
      <c r="O9" s="9"/>
      <c r="P9" s="9"/>
      <c r="Q9" s="9"/>
      <c r="R9" s="10">
        <v>0.8</v>
      </c>
      <c r="S9" s="9">
        <v>0.2</v>
      </c>
      <c r="T9" s="9">
        <v>0.2</v>
      </c>
      <c r="U9" s="9"/>
      <c r="V9" s="9"/>
      <c r="W9" s="9">
        <v>0.2</v>
      </c>
      <c r="X9" s="12">
        <v>2</v>
      </c>
      <c r="Y9" s="12">
        <v>2</v>
      </c>
      <c r="Z9" s="12">
        <v>0</v>
      </c>
      <c r="AA9" s="12" t="s">
        <v>9</v>
      </c>
    </row>
    <row r="10" spans="1:27" s="7" customFormat="1" x14ac:dyDescent="0.4">
      <c r="A10" s="7">
        <v>2</v>
      </c>
      <c r="B10" s="7">
        <v>1</v>
      </c>
      <c r="C10" s="7">
        <v>1</v>
      </c>
      <c r="D10" s="16" t="str">
        <f t="shared" si="0"/>
        <v>2A_1D_1H</v>
      </c>
      <c r="E10" s="9"/>
      <c r="F10" s="9"/>
      <c r="G10" s="9"/>
      <c r="H10" s="9">
        <v>0.2</v>
      </c>
      <c r="I10" s="9">
        <v>0.4</v>
      </c>
      <c r="J10" s="9"/>
      <c r="K10" s="9">
        <v>0.2</v>
      </c>
      <c r="L10" s="10">
        <v>0.4</v>
      </c>
      <c r="M10" s="9">
        <v>0.2</v>
      </c>
      <c r="N10" s="9">
        <v>0.2</v>
      </c>
      <c r="O10" s="9">
        <v>0.2</v>
      </c>
      <c r="P10" s="9">
        <v>0.6</v>
      </c>
      <c r="Q10" s="9">
        <v>0.2</v>
      </c>
      <c r="R10" s="10">
        <v>0.2</v>
      </c>
      <c r="S10" s="9">
        <v>0.4</v>
      </c>
      <c r="T10" s="9"/>
      <c r="U10" s="9">
        <v>0.2</v>
      </c>
      <c r="V10" s="9"/>
      <c r="W10" s="9"/>
      <c r="X10" s="12">
        <v>1</v>
      </c>
      <c r="Y10" s="12">
        <v>2</v>
      </c>
      <c r="Z10" s="12">
        <v>0</v>
      </c>
      <c r="AA10" s="12" t="s">
        <v>9</v>
      </c>
    </row>
    <row r="11" spans="1:27" s="7" customFormat="1" x14ac:dyDescent="0.4">
      <c r="A11" s="7">
        <v>2</v>
      </c>
      <c r="B11" s="7">
        <v>2</v>
      </c>
      <c r="C11" s="7">
        <v>0</v>
      </c>
      <c r="D11" s="8" t="str">
        <f t="shared" si="0"/>
        <v>2A_2D</v>
      </c>
      <c r="E11" s="9"/>
      <c r="F11" s="9"/>
      <c r="G11" s="9"/>
      <c r="H11" s="9"/>
      <c r="I11" s="9"/>
      <c r="J11" s="9"/>
      <c r="K11" s="9"/>
      <c r="L11" s="10"/>
      <c r="M11" s="9">
        <v>0.8</v>
      </c>
      <c r="N11" s="9"/>
      <c r="O11" s="9"/>
      <c r="P11" s="9"/>
      <c r="Q11" s="9">
        <v>0.2</v>
      </c>
      <c r="R11" s="10">
        <v>0.8</v>
      </c>
      <c r="S11" s="9">
        <v>1</v>
      </c>
      <c r="T11" s="9"/>
      <c r="U11" s="9">
        <v>1</v>
      </c>
      <c r="V11" s="9"/>
      <c r="W11" s="9"/>
      <c r="X11" s="11">
        <v>0</v>
      </c>
      <c r="Y11" s="11">
        <v>2</v>
      </c>
      <c r="Z11" s="11">
        <v>2</v>
      </c>
      <c r="AA11" s="12" t="s">
        <v>8</v>
      </c>
    </row>
    <row r="12" spans="1:27" s="7" customFormat="1" x14ac:dyDescent="0.4">
      <c r="A12" s="7">
        <v>2</v>
      </c>
      <c r="B12" s="7">
        <v>2</v>
      </c>
      <c r="C12" s="7">
        <v>0</v>
      </c>
      <c r="D12" s="18" t="str">
        <f t="shared" si="0"/>
        <v>2A_2D</v>
      </c>
      <c r="E12" s="9"/>
      <c r="F12" s="9"/>
      <c r="G12" s="9"/>
      <c r="H12" s="9"/>
      <c r="I12" s="9"/>
      <c r="J12" s="9"/>
      <c r="K12" s="9"/>
      <c r="L12" s="10"/>
      <c r="M12" s="9">
        <v>1</v>
      </c>
      <c r="N12" s="9"/>
      <c r="O12" s="9"/>
      <c r="P12" s="9"/>
      <c r="Q12" s="9"/>
      <c r="R12" s="10">
        <v>1</v>
      </c>
      <c r="S12" s="9">
        <v>1</v>
      </c>
      <c r="T12" s="9"/>
      <c r="U12" s="9">
        <v>1</v>
      </c>
      <c r="V12" s="9"/>
      <c r="W12" s="9"/>
      <c r="X12" s="11">
        <v>0</v>
      </c>
      <c r="Y12" s="11">
        <v>2</v>
      </c>
      <c r="Z12" s="11">
        <v>2</v>
      </c>
      <c r="AA12" s="12" t="s">
        <v>8</v>
      </c>
    </row>
    <row r="13" spans="1:27" s="7" customFormat="1" x14ac:dyDescent="0.4">
      <c r="A13" s="7">
        <v>2</v>
      </c>
      <c r="B13" s="7">
        <v>0</v>
      </c>
      <c r="C13" s="7">
        <v>2</v>
      </c>
      <c r="D13" s="8" t="str">
        <f t="shared" si="0"/>
        <v>2A_2H</v>
      </c>
      <c r="E13" s="9"/>
      <c r="F13" s="9"/>
      <c r="G13" s="9"/>
      <c r="H13" s="9">
        <v>0.4</v>
      </c>
      <c r="I13" s="9"/>
      <c r="J13" s="9">
        <v>0.4</v>
      </c>
      <c r="K13" s="9">
        <v>0.2</v>
      </c>
      <c r="L13" s="9">
        <v>0.2</v>
      </c>
      <c r="M13" s="17">
        <v>0.4</v>
      </c>
      <c r="N13" s="9">
        <v>0.2</v>
      </c>
      <c r="O13" s="9">
        <v>0.4</v>
      </c>
      <c r="P13" s="9">
        <v>0.2</v>
      </c>
      <c r="Q13" s="9">
        <v>0.4</v>
      </c>
      <c r="R13" s="10"/>
      <c r="S13" s="9"/>
      <c r="T13" s="9">
        <v>0.4</v>
      </c>
      <c r="U13" s="9">
        <v>0.4</v>
      </c>
      <c r="V13" s="9"/>
      <c r="W13" s="20"/>
      <c r="X13" s="12">
        <v>0</v>
      </c>
      <c r="Y13" s="12">
        <v>1</v>
      </c>
      <c r="Z13" s="12">
        <v>2</v>
      </c>
      <c r="AA13" s="12" t="s">
        <v>8</v>
      </c>
    </row>
    <row r="14" spans="1:27" s="7" customFormat="1" x14ac:dyDescent="0.4">
      <c r="A14" s="7">
        <v>0</v>
      </c>
      <c r="B14" s="7">
        <v>2</v>
      </c>
      <c r="C14" s="7">
        <v>2</v>
      </c>
      <c r="D14" s="8" t="str">
        <f t="shared" si="0"/>
        <v>2D_2H</v>
      </c>
      <c r="E14" s="17"/>
      <c r="F14" s="9"/>
      <c r="G14" s="9"/>
      <c r="H14" s="9"/>
      <c r="I14" s="9">
        <v>0.8</v>
      </c>
      <c r="J14" s="9"/>
      <c r="K14" s="9"/>
      <c r="L14" s="9">
        <v>0.2</v>
      </c>
      <c r="M14" s="17"/>
      <c r="N14" s="9">
        <v>1</v>
      </c>
      <c r="O14" s="9">
        <v>0.8</v>
      </c>
      <c r="P14" s="9"/>
      <c r="Q14" s="9"/>
      <c r="R14" s="10">
        <v>1</v>
      </c>
      <c r="S14" s="9"/>
      <c r="T14" s="9"/>
      <c r="U14" s="9"/>
      <c r="V14" s="9"/>
      <c r="W14" s="9"/>
      <c r="X14" s="12">
        <v>1</v>
      </c>
      <c r="Y14" s="12">
        <v>3</v>
      </c>
      <c r="Z14" s="12">
        <v>0</v>
      </c>
      <c r="AA14" s="12" t="s">
        <v>8</v>
      </c>
    </row>
    <row r="15" spans="1:27" s="7" customFormat="1" ht="15" customHeight="1" x14ac:dyDescent="0.4">
      <c r="A15" s="7">
        <v>3</v>
      </c>
      <c r="B15" s="7">
        <v>1</v>
      </c>
      <c r="C15" s="7">
        <v>0</v>
      </c>
      <c r="D15" s="8" t="str">
        <f t="shared" si="0"/>
        <v>3A_1D</v>
      </c>
      <c r="E15" s="17"/>
      <c r="F15" s="9"/>
      <c r="G15" s="9"/>
      <c r="H15" s="9"/>
      <c r="I15" s="9"/>
      <c r="J15" s="9"/>
      <c r="K15" s="9">
        <v>0.4</v>
      </c>
      <c r="L15" s="10"/>
      <c r="M15" s="9">
        <v>0.6</v>
      </c>
      <c r="N15" s="9"/>
      <c r="O15" s="9"/>
      <c r="P15" s="9">
        <v>0.4</v>
      </c>
      <c r="Q15" s="9"/>
      <c r="R15" s="10">
        <v>0.6</v>
      </c>
      <c r="S15" s="9">
        <v>0.4</v>
      </c>
      <c r="T15" s="9"/>
      <c r="U15" s="9">
        <v>0.6</v>
      </c>
      <c r="V15" s="21"/>
      <c r="W15" s="21"/>
      <c r="X15" s="12">
        <v>1</v>
      </c>
      <c r="Y15" s="12">
        <v>1</v>
      </c>
      <c r="Z15" s="12">
        <v>1</v>
      </c>
      <c r="AA15" s="12" t="s">
        <v>9</v>
      </c>
    </row>
    <row r="16" spans="1:27" s="7" customFormat="1" x14ac:dyDescent="0.4">
      <c r="A16" s="7">
        <v>3</v>
      </c>
      <c r="B16" s="7">
        <v>1</v>
      </c>
      <c r="C16" s="7">
        <v>0</v>
      </c>
      <c r="D16" s="19" t="str">
        <f t="shared" si="0"/>
        <v>3A_1D</v>
      </c>
      <c r="E16" s="17"/>
      <c r="F16" s="9">
        <v>0.2</v>
      </c>
      <c r="G16" s="9">
        <v>0.2</v>
      </c>
      <c r="H16" s="9">
        <v>0.2</v>
      </c>
      <c r="I16" s="9"/>
      <c r="J16" s="9"/>
      <c r="K16" s="9"/>
      <c r="L16" s="10"/>
      <c r="M16" s="9">
        <v>0.8</v>
      </c>
      <c r="N16" s="9"/>
      <c r="O16" s="9"/>
      <c r="P16" s="9">
        <v>1</v>
      </c>
      <c r="Q16" s="9"/>
      <c r="R16" s="10">
        <v>0.8</v>
      </c>
      <c r="S16" s="9"/>
      <c r="T16" s="9"/>
      <c r="U16" s="9">
        <v>0.8</v>
      </c>
      <c r="V16" s="9"/>
      <c r="W16" s="9"/>
      <c r="X16" s="12">
        <v>0</v>
      </c>
      <c r="Y16" s="12">
        <v>3</v>
      </c>
      <c r="Z16" s="12">
        <v>1</v>
      </c>
      <c r="AA16" s="12" t="s">
        <v>8</v>
      </c>
    </row>
    <row r="17" spans="1:28" s="7" customFormat="1" x14ac:dyDescent="0.4">
      <c r="A17" s="7">
        <v>3</v>
      </c>
      <c r="B17" s="7">
        <v>0</v>
      </c>
      <c r="C17" s="7">
        <v>1</v>
      </c>
      <c r="D17" s="8" t="str">
        <f t="shared" si="0"/>
        <v>3A_1H</v>
      </c>
      <c r="E17" s="17"/>
      <c r="F17" s="9"/>
      <c r="G17" s="9">
        <v>0.4</v>
      </c>
      <c r="H17" s="9">
        <v>0.4</v>
      </c>
      <c r="I17" s="9"/>
      <c r="J17" s="9"/>
      <c r="K17" s="9">
        <v>0.4</v>
      </c>
      <c r="L17" s="9">
        <v>0.4</v>
      </c>
      <c r="M17" s="17">
        <v>0.2</v>
      </c>
      <c r="N17" s="9">
        <v>0.4</v>
      </c>
      <c r="O17" s="9"/>
      <c r="P17" s="9">
        <v>0.8</v>
      </c>
      <c r="Q17" s="9">
        <v>0.4</v>
      </c>
      <c r="R17" s="10"/>
      <c r="S17" s="9"/>
      <c r="T17" s="9"/>
      <c r="U17" s="9">
        <v>0.2</v>
      </c>
      <c r="V17" s="9"/>
      <c r="W17" s="9"/>
      <c r="X17" s="12">
        <v>3</v>
      </c>
      <c r="Y17" s="12">
        <v>1</v>
      </c>
      <c r="Z17" s="12">
        <v>0</v>
      </c>
      <c r="AA17" s="12" t="s">
        <v>8</v>
      </c>
    </row>
    <row r="18" spans="1:28" s="7" customFormat="1" x14ac:dyDescent="0.4">
      <c r="A18" s="7">
        <v>0</v>
      </c>
      <c r="B18" s="7">
        <v>3</v>
      </c>
      <c r="C18" s="7">
        <v>1</v>
      </c>
      <c r="D18" s="8" t="str">
        <f t="shared" si="0"/>
        <v>3D_1H</v>
      </c>
      <c r="E18" s="17">
        <v>0.2</v>
      </c>
      <c r="F18" s="9"/>
      <c r="G18" s="9"/>
      <c r="H18" s="9"/>
      <c r="I18" s="9">
        <v>1</v>
      </c>
      <c r="J18" s="9">
        <v>0.2</v>
      </c>
      <c r="K18" s="9"/>
      <c r="L18" s="10"/>
      <c r="M18" s="9"/>
      <c r="N18" s="9">
        <v>0.8</v>
      </c>
      <c r="O18" s="9"/>
      <c r="P18" s="9"/>
      <c r="Q18" s="9"/>
      <c r="R18" s="10">
        <v>0.8</v>
      </c>
      <c r="S18" s="9">
        <v>0.8</v>
      </c>
      <c r="T18" s="9"/>
      <c r="U18" s="9"/>
      <c r="V18" s="9"/>
      <c r="W18" s="9"/>
      <c r="X18" s="12">
        <v>1</v>
      </c>
      <c r="Y18" s="12">
        <v>2</v>
      </c>
      <c r="Z18" s="12">
        <v>1</v>
      </c>
      <c r="AA18" s="12" t="s">
        <v>9</v>
      </c>
    </row>
    <row r="19" spans="1:28" s="7" customFormat="1" x14ac:dyDescent="0.4">
      <c r="A19" s="7">
        <v>4</v>
      </c>
      <c r="B19" s="7">
        <v>0</v>
      </c>
      <c r="C19" s="7">
        <v>0</v>
      </c>
      <c r="D19" s="8" t="str">
        <f t="shared" si="0"/>
        <v>4A</v>
      </c>
      <c r="E19" s="9"/>
      <c r="F19" s="22"/>
      <c r="G19" s="9">
        <v>0.2</v>
      </c>
      <c r="H19" s="9">
        <v>0.4</v>
      </c>
      <c r="I19" s="22"/>
      <c r="J19" s="9"/>
      <c r="K19" s="9">
        <v>0.4</v>
      </c>
      <c r="L19" s="10"/>
      <c r="M19" s="9">
        <v>0.8</v>
      </c>
      <c r="N19" s="9"/>
      <c r="O19" s="9"/>
      <c r="P19" s="9">
        <v>0.8</v>
      </c>
      <c r="Q19" s="22">
        <v>0.8</v>
      </c>
      <c r="R19" s="23"/>
      <c r="S19" s="22"/>
      <c r="T19" s="22"/>
      <c r="U19" s="22">
        <v>0.6</v>
      </c>
      <c r="V19" s="22"/>
      <c r="W19" s="10"/>
      <c r="X19" s="12">
        <v>0</v>
      </c>
      <c r="Y19" s="24">
        <v>3</v>
      </c>
      <c r="Z19" s="12">
        <v>1</v>
      </c>
      <c r="AA19" s="12" t="s">
        <v>8</v>
      </c>
    </row>
    <row r="20" spans="1:28" s="7" customFormat="1" x14ac:dyDescent="0.4">
      <c r="A20" s="25">
        <v>0</v>
      </c>
      <c r="B20" s="26">
        <v>4</v>
      </c>
      <c r="C20" s="26">
        <v>0</v>
      </c>
      <c r="D20" s="27" t="str">
        <f t="shared" si="0"/>
        <v>4D</v>
      </c>
      <c r="E20" s="15"/>
      <c r="F20" s="14"/>
      <c r="G20" s="14"/>
      <c r="H20" s="14"/>
      <c r="I20" s="9">
        <v>1</v>
      </c>
      <c r="J20" s="14"/>
      <c r="K20" s="14"/>
      <c r="L20" s="28"/>
      <c r="M20" s="14"/>
      <c r="N20" s="14"/>
      <c r="O20" s="14"/>
      <c r="P20" s="14"/>
      <c r="Q20" s="14"/>
      <c r="R20" s="10">
        <v>1</v>
      </c>
      <c r="S20" s="9">
        <v>1</v>
      </c>
      <c r="T20" s="9"/>
      <c r="U20" s="9"/>
      <c r="V20" s="14"/>
      <c r="W20" s="28"/>
      <c r="X20" s="29">
        <v>1</v>
      </c>
      <c r="Y20" s="25">
        <v>1</v>
      </c>
      <c r="Z20" s="29">
        <v>1</v>
      </c>
      <c r="AA20" s="12" t="s">
        <v>9</v>
      </c>
    </row>
    <row r="21" spans="1:28" s="7" customFormat="1" x14ac:dyDescent="0.4">
      <c r="A21" s="30">
        <v>0</v>
      </c>
      <c r="B21" s="7">
        <v>0</v>
      </c>
      <c r="C21" s="7">
        <v>4</v>
      </c>
      <c r="D21" s="8" t="str">
        <f t="shared" si="0"/>
        <v>4H</v>
      </c>
      <c r="E21" s="17"/>
      <c r="F21" s="9"/>
      <c r="G21" s="9"/>
      <c r="H21" s="9"/>
      <c r="I21" s="9"/>
      <c r="J21" s="9">
        <v>0.6</v>
      </c>
      <c r="K21" s="9"/>
      <c r="L21" s="9">
        <v>1</v>
      </c>
      <c r="M21" s="17"/>
      <c r="N21" s="9">
        <v>0.6</v>
      </c>
      <c r="O21" s="9">
        <v>1</v>
      </c>
      <c r="P21" s="9"/>
      <c r="Q21" s="9"/>
      <c r="R21" s="10"/>
      <c r="S21" s="9"/>
      <c r="T21" s="9"/>
      <c r="U21" s="9"/>
      <c r="V21" s="9"/>
      <c r="W21" s="10"/>
      <c r="X21" s="12">
        <v>2</v>
      </c>
      <c r="Y21" s="30">
        <v>1</v>
      </c>
      <c r="Z21" s="12">
        <v>0</v>
      </c>
      <c r="AA21" s="12" t="s">
        <v>8</v>
      </c>
      <c r="AB21" s="7" t="s">
        <v>30</v>
      </c>
    </row>
    <row r="22" spans="1:28" s="7" customFormat="1" x14ac:dyDescent="0.4">
      <c r="A22" s="31">
        <v>0</v>
      </c>
      <c r="B22" s="32">
        <v>0</v>
      </c>
      <c r="C22" s="32">
        <v>4</v>
      </c>
      <c r="D22" s="33" t="s">
        <v>13</v>
      </c>
      <c r="E22" s="34"/>
      <c r="F22" s="22"/>
      <c r="G22" s="9"/>
      <c r="H22" s="22"/>
      <c r="I22" s="22"/>
      <c r="J22" s="22">
        <v>0.8</v>
      </c>
      <c r="K22" s="22"/>
      <c r="L22" s="22">
        <v>0.8</v>
      </c>
      <c r="M22" s="34"/>
      <c r="N22" s="22">
        <v>0.8</v>
      </c>
      <c r="O22" s="22">
        <v>0.8</v>
      </c>
      <c r="P22" s="22"/>
      <c r="Q22" s="22"/>
      <c r="R22" s="23"/>
      <c r="S22" s="22"/>
      <c r="T22" s="22">
        <v>0.2</v>
      </c>
      <c r="U22" s="22"/>
      <c r="V22" s="22"/>
      <c r="W22" s="23">
        <v>0.2</v>
      </c>
      <c r="X22" s="35">
        <v>2</v>
      </c>
      <c r="Y22" s="32">
        <v>2</v>
      </c>
      <c r="Z22" s="35">
        <v>0</v>
      </c>
      <c r="AA22" s="35" t="s">
        <v>8</v>
      </c>
    </row>
    <row r="23" spans="1:28" x14ac:dyDescent="0.4">
      <c r="G23" s="4"/>
    </row>
    <row r="25" spans="1:28" x14ac:dyDescent="0.4">
      <c r="AA25" s="13"/>
    </row>
    <row r="26" spans="1:28" x14ac:dyDescent="0.4">
      <c r="AA26" s="13"/>
    </row>
  </sheetData>
  <sortState xmlns:xlrd2="http://schemas.microsoft.com/office/spreadsheetml/2017/richdata2" ref="A2:AA22">
    <sortCondition ref="D2:D22"/>
  </sortState>
  <conditionalFormatting sqref="H3:W3 E3:F3 E2:W2 E4:W19">
    <cfRule type="colorScale" priority="62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H3:W3 E3:F3 E2:W2 E4:W22">
    <cfRule type="colorScale" priority="17">
      <colorScale>
        <cfvo type="min"/>
        <cfvo type="percentile" val="50"/>
        <cfvo type="max"/>
        <color theme="7" tint="0.79998168889431442"/>
        <color theme="4" tint="0.59999389629810485"/>
        <color theme="9" tint="0.39997558519241921"/>
      </colorScale>
    </cfRule>
    <cfRule type="colorScale" priority="64">
      <colorScale>
        <cfvo type="min"/>
        <cfvo type="percentile" val="50"/>
        <cfvo type="max"/>
        <color theme="4" tint="0.79998168889431442"/>
        <color theme="3" tint="0.749992370372631"/>
        <color theme="9" tint="0.59999389629810485"/>
      </colorScale>
    </cfRule>
    <cfRule type="colorScale" priority="65">
      <colorScale>
        <cfvo type="min"/>
        <cfvo type="max"/>
        <color rgb="FFFF7128"/>
        <color rgb="FF00B050"/>
      </colorScale>
    </cfRule>
  </conditionalFormatting>
  <conditionalFormatting sqref="G21">
    <cfRule type="colorScale" priority="28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H21">
    <cfRule type="colorScale" priority="27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I20">
    <cfRule type="colorScale" priority="9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J21:J22">
    <cfRule type="colorScale" priority="12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  <cfRule type="colorScale" priority="15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L21">
    <cfRule type="colorScale" priority="14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L22">
    <cfRule type="colorScale" priority="5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  <cfRule type="colorScale" priority="6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N21">
    <cfRule type="colorScale" priority="16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N22">
    <cfRule type="colorScale" priority="7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  <cfRule type="colorScale" priority="8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O21">
    <cfRule type="colorScale" priority="13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O22">
    <cfRule type="colorScale" priority="3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  <cfRule type="colorScale" priority="4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R20">
    <cfRule type="colorScale" priority="11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S20:U20">
    <cfRule type="colorScale" priority="10">
      <colorScale>
        <cfvo type="min"/>
        <cfvo type="percentile" val="50"/>
        <cfvo type="max"/>
        <color theme="3" tint="0.749992370372631"/>
        <color theme="0" tint="-4.9989318521683403E-2"/>
        <color theme="9" tint="0.79998168889431442"/>
      </colorScale>
    </cfRule>
  </conditionalFormatting>
  <conditionalFormatting sqref="E2:W22">
    <cfRule type="colorScale" priority="86">
      <colorScale>
        <cfvo type="min"/>
        <cfvo type="percentile" val="50"/>
        <cfvo type="max"/>
        <color theme="7" tint="0.79998168889431442"/>
        <color theme="7" tint="0.59999389629810485"/>
        <color rgb="FF92D050"/>
      </colorScale>
    </cfRule>
    <cfRule type="colorScale" priority="1">
      <colorScale>
        <cfvo type="min"/>
        <cfvo type="percentile" val="50"/>
        <cfvo type="max"/>
        <color theme="7" tint="0.79998168889431442"/>
        <color rgb="FF00B0F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Karolak, Aleksandra M</dc:creator>
  <cp:lastModifiedBy>Gavrilovskaia, Marina</cp:lastModifiedBy>
  <dcterms:created xsi:type="dcterms:W3CDTF">2025-09-04T18:07:02Z</dcterms:created>
  <dcterms:modified xsi:type="dcterms:W3CDTF">2026-02-17T03:20:16Z</dcterms:modified>
</cp:coreProperties>
</file>